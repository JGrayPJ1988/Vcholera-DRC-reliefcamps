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Paper.campsites/nature - Nat Comm - 2/"/>
    </mc:Choice>
  </mc:AlternateContent>
  <xr:revisionPtr revIDLastSave="0" documentId="13_ncr:1_{88573A82-722E-F945-A74D-49EA3169F6BA}" xr6:coauthVersionLast="47" xr6:coauthVersionMax="47" xr10:uidLastSave="{00000000-0000-0000-0000-000000000000}"/>
  <bookViews>
    <workbookView xWindow="0" yWindow="660" windowWidth="30240" windowHeight="17820" xr2:uid="{14D8D715-0218-AD42-9EFD-55E89B83B59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2" l="1"/>
  <c r="I4" i="2"/>
  <c r="I5" i="2"/>
  <c r="I6" i="2"/>
  <c r="I7" i="2"/>
  <c r="I3" i="2"/>
</calcChain>
</file>

<file path=xl/sharedStrings.xml><?xml version="1.0" encoding="utf-8"?>
<sst xmlns="http://schemas.openxmlformats.org/spreadsheetml/2006/main" count="29" uniqueCount="22">
  <si>
    <t>Group</t>
  </si>
  <si>
    <t>CTCs</t>
  </si>
  <si>
    <t>Relief</t>
  </si>
  <si>
    <t>Mean KS</t>
  </si>
  <si>
    <t>Mean KA</t>
  </si>
  <si>
    <t>KA/KS</t>
  </si>
  <si>
    <t>Table 4. Synonymous and non-synonymous ratio</t>
  </si>
  <si>
    <t>Rate Backbone</t>
  </si>
  <si>
    <t>Rate Exterior</t>
  </si>
  <si>
    <t>Rate Internal</t>
  </si>
  <si>
    <t>0.5948-0.6661</t>
  </si>
  <si>
    <t>0.5461-0.6191</t>
  </si>
  <si>
    <t>0.6083-0.7081</t>
  </si>
  <si>
    <t>0.3472-0.4134</t>
  </si>
  <si>
    <t>0.3984-0.4694</t>
  </si>
  <si>
    <t>0.2962-0.3983</t>
  </si>
  <si>
    <t>[HPD]-KA</t>
  </si>
  <si>
    <t>[HPD]-KS</t>
  </si>
  <si>
    <t>0.5815-0.6784</t>
  </si>
  <si>
    <t>0.3327-0.4255</t>
  </si>
  <si>
    <t>SD-KA</t>
  </si>
  <si>
    <t>SD-KS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</si>
</sst>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7136-D242-FD45-BC98-9061A4FA4CF6}">
  <dimension ref="A1:I19"/>
  <sheetViews>
    <sheetView tabSelected="1" workbookViewId="0">
      <selection activeCell="G27" sqref="G27"/>
    </sheetView>
  </sheetViews>
  <sheetFormatPr baseColWidth="10" defaultRowHeight="16" x14ac:dyDescent="0.2"/>
  <cols>
    <col min="1" max="1" width="39.83203125" bestFit="1" customWidth="1"/>
    <col min="2" max="2" width="30" customWidth="1"/>
    <col min="3" max="3" width="9.1640625" bestFit="1" customWidth="1"/>
    <col min="4" max="4" width="12.83203125" bestFit="1" customWidth="1"/>
    <col min="5" max="5" width="12.83203125" customWidth="1"/>
    <col min="6" max="6" width="8.83203125" bestFit="1" customWidth="1"/>
    <col min="7" max="7" width="12.83203125" bestFit="1" customWidth="1"/>
    <col min="8" max="8" width="12.83203125" customWidth="1"/>
  </cols>
  <sheetData>
    <row r="1" spans="1:9" x14ac:dyDescent="0.2">
      <c r="A1" t="s">
        <v>6</v>
      </c>
    </row>
    <row r="2" spans="1:9" ht="17" thickBot="1" x14ac:dyDescent="0.25">
      <c r="A2" s="1" t="s">
        <v>0</v>
      </c>
      <c r="B2" s="1"/>
      <c r="C2" s="1" t="s">
        <v>4</v>
      </c>
      <c r="D2" s="1" t="s">
        <v>16</v>
      </c>
      <c r="E2" s="1" t="s">
        <v>20</v>
      </c>
      <c r="F2" s="1" t="s">
        <v>3</v>
      </c>
      <c r="G2" s="1" t="s">
        <v>17</v>
      </c>
      <c r="H2" s="1" t="s">
        <v>21</v>
      </c>
      <c r="I2" s="1" t="s">
        <v>5</v>
      </c>
    </row>
    <row r="3" spans="1:9" x14ac:dyDescent="0.2">
      <c r="A3" s="3" t="s">
        <v>1</v>
      </c>
      <c r="B3" s="3" t="s">
        <v>9</v>
      </c>
      <c r="C3" s="5">
        <v>0.62772290479957005</v>
      </c>
      <c r="D3" s="5" t="s">
        <v>10</v>
      </c>
      <c r="E3" s="5">
        <v>1.90407576316746E-2</v>
      </c>
      <c r="F3" s="5">
        <v>0.38228590676351398</v>
      </c>
      <c r="G3" s="5" t="s">
        <v>13</v>
      </c>
      <c r="H3" s="5">
        <v>1.84562723176106E-2</v>
      </c>
      <c r="I3" s="5">
        <f t="shared" ref="I3:I8" si="0">C3/F3</f>
        <v>1.6420247089775295</v>
      </c>
    </row>
    <row r="4" spans="1:9" x14ac:dyDescent="0.2">
      <c r="A4" s="8"/>
      <c r="B4" s="8" t="s">
        <v>8</v>
      </c>
      <c r="C4" s="9">
        <v>0.58215317130581001</v>
      </c>
      <c r="D4" s="9" t="s">
        <v>11</v>
      </c>
      <c r="E4" s="9">
        <v>2.0397482321156998E-2</v>
      </c>
      <c r="F4" s="9">
        <v>0.43176117052246699</v>
      </c>
      <c r="G4" s="9" t="s">
        <v>14</v>
      </c>
      <c r="H4" s="9">
        <v>1.9826619518438001E-2</v>
      </c>
      <c r="I4" s="9">
        <f t="shared" si="0"/>
        <v>1.3483221999823565</v>
      </c>
    </row>
    <row r="5" spans="1:9" x14ac:dyDescent="0.2">
      <c r="A5" s="4"/>
      <c r="B5" s="8" t="s">
        <v>7</v>
      </c>
      <c r="C5" s="9">
        <v>0.65351494501957497</v>
      </c>
      <c r="D5" s="9" t="s">
        <v>12</v>
      </c>
      <c r="E5" s="9">
        <v>2.74300200626276E-2</v>
      </c>
      <c r="F5" s="9">
        <v>0.35277409507756202</v>
      </c>
      <c r="G5" s="9" t="s">
        <v>15</v>
      </c>
      <c r="H5" s="9">
        <v>2.7219036969759799E-2</v>
      </c>
      <c r="I5" s="9">
        <f t="shared" si="0"/>
        <v>1.8525026472703192</v>
      </c>
    </row>
    <row r="6" spans="1:9" x14ac:dyDescent="0.2">
      <c r="A6" s="8" t="s">
        <v>2</v>
      </c>
      <c r="B6" s="8" t="s">
        <v>9</v>
      </c>
      <c r="C6" s="9">
        <v>0.62772290479957005</v>
      </c>
      <c r="D6" s="9" t="s">
        <v>10</v>
      </c>
      <c r="E6" s="9">
        <v>1.90407576316746E-2</v>
      </c>
      <c r="F6" s="9">
        <v>0.38228591000000001</v>
      </c>
      <c r="G6" s="9" t="s">
        <v>13</v>
      </c>
      <c r="H6" s="9">
        <v>1.84562723176106E-2</v>
      </c>
      <c r="I6" s="9">
        <f t="shared" si="0"/>
        <v>1.6420246950759185</v>
      </c>
    </row>
    <row r="7" spans="1:9" x14ac:dyDescent="0.2">
      <c r="A7" s="8"/>
      <c r="B7" s="8" t="s">
        <v>8</v>
      </c>
      <c r="C7" s="9">
        <v>0.58215317130581001</v>
      </c>
      <c r="D7" s="9" t="s">
        <v>11</v>
      </c>
      <c r="E7" s="9">
        <v>2.0397482321156998E-2</v>
      </c>
      <c r="F7" s="9">
        <v>0.43176117000000003</v>
      </c>
      <c r="G7" s="9" t="s">
        <v>14</v>
      </c>
      <c r="H7" s="9">
        <v>1.9826619518438001E-2</v>
      </c>
      <c r="I7" s="9">
        <f t="shared" si="0"/>
        <v>1.3483222016139385</v>
      </c>
    </row>
    <row r="8" spans="1:9" ht="17" thickBot="1" x14ac:dyDescent="0.25">
      <c r="A8" s="2"/>
      <c r="B8" s="2" t="s">
        <v>7</v>
      </c>
      <c r="C8" s="6">
        <v>0.62690815734947902</v>
      </c>
      <c r="D8" s="6" t="s">
        <v>18</v>
      </c>
      <c r="E8" s="6">
        <v>2.51127115245602E-2</v>
      </c>
      <c r="F8" s="6">
        <v>0.37980582000000002</v>
      </c>
      <c r="G8" s="6" t="s">
        <v>19</v>
      </c>
      <c r="H8" s="6">
        <v>2.4832854977615199E-2</v>
      </c>
      <c r="I8" s="6">
        <f t="shared" si="0"/>
        <v>1.6506017663170065</v>
      </c>
    </row>
    <row r="19" spans="6:6" x14ac:dyDescent="0.2">
      <c r="F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2026-08-03T20:54:27Z</dcterms:created>
  <dcterms:modified xsi:type="dcterms:W3CDTF">2026-08-11T01:26:55Z</dcterms:modified>
</cp:coreProperties>
</file>